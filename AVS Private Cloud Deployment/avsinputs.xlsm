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07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crosoft-my.sharepoint.com/personal/tredavis_microsoft_com/Documents/GitHub/scripts/AVS Private Cloud Deployment/"/>
    </mc:Choice>
  </mc:AlternateContent>
  <xr:revisionPtr revIDLastSave="694" documentId="14_{FD358CD9-14C5-45BA-A72E-39597BA7DD76}" xr6:coauthVersionLast="46" xr6:coauthVersionMax="46" xr10:uidLastSave="{75C4B1B1-1C84-47FF-B8B4-1AA16B3C7FAA}"/>
  <bookViews>
    <workbookView xWindow="-98" yWindow="-98" windowWidth="24496" windowHeight="15796" activeTab="2" xr2:uid="{00000000-000D-0000-FFFF-FFFF00000000}"/>
  </bookViews>
  <sheets>
    <sheet name="User Inputs" sheetId="2" r:id="rId1"/>
    <sheet name="userinputs" sheetId="1" state="hidden" r:id="rId2"/>
    <sheet name="dropdown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1" l="1"/>
  <c r="N2" i="1"/>
  <c r="M2" i="1"/>
  <c r="L2" i="1"/>
  <c r="K2" i="1"/>
  <c r="J2" i="1"/>
  <c r="C2" i="1"/>
  <c r="I2" i="1"/>
  <c r="H2" i="1"/>
  <c r="G2" i="1"/>
  <c r="F2" i="1"/>
  <c r="D2" i="1"/>
  <c r="B2" i="1"/>
  <c r="A2" i="1"/>
</calcChain>
</file>

<file path=xl/sharedStrings.xml><?xml version="1.0" encoding="utf-8"?>
<sst xmlns="http://schemas.openxmlformats.org/spreadsheetml/2006/main" count="52" uniqueCount="47">
  <si>
    <t>sub</t>
  </si>
  <si>
    <t>existing</t>
  </si>
  <si>
    <t>create new</t>
  </si>
  <si>
    <t>australiaeast</t>
  </si>
  <si>
    <t>useast</t>
  </si>
  <si>
    <t>uswest</t>
  </si>
  <si>
    <t>canadacentral</t>
  </si>
  <si>
    <t>westus</t>
  </si>
  <si>
    <t>westeurope</t>
  </si>
  <si>
    <t>japaneast</t>
  </si>
  <si>
    <t>uksouth</t>
  </si>
  <si>
    <t>northcentralus</t>
  </si>
  <si>
    <t>rgfordeployment</t>
  </si>
  <si>
    <t>regionfordeployment</t>
  </si>
  <si>
    <t>pcname</t>
  </si>
  <si>
    <t>vnetandexr</t>
  </si>
  <si>
    <t>vnetname</t>
  </si>
  <si>
    <t>vnetaddressprefix</t>
  </si>
  <si>
    <t>defaultsubnetprefix</t>
  </si>
  <si>
    <t>gwsubnetprefix</t>
  </si>
  <si>
    <t>1. Create a New Azure Virtual Network and ExpressRoute Gateway</t>
  </si>
  <si>
    <t>2. Use an existing Azure Virtual Network and Create an ExpressRoute Gateway</t>
  </si>
  <si>
    <t>3. Use an existing ExpressRoute Gateway</t>
  </si>
  <si>
    <t>rgnew</t>
  </si>
  <si>
    <t>addressblock</t>
  </si>
  <si>
    <t>internet</t>
  </si>
  <si>
    <t>skus</t>
  </si>
  <si>
    <t>AV36</t>
  </si>
  <si>
    <t>numberofhosts</t>
  </si>
  <si>
    <t>Enabled</t>
  </si>
  <si>
    <t>Disabled</t>
  </si>
  <si>
    <r>
      <t xml:space="preserve">What is the Azure Subscription where Azure VMware Solution will be deployed?
</t>
    </r>
    <r>
      <rPr>
        <i/>
        <sz val="11"/>
        <color theme="1"/>
        <rFont val="Calibri"/>
        <family val="2"/>
        <scheme val="minor"/>
      </rPr>
      <t xml:space="preserve">* Provide the subscription ID in this format (xxxxxxxx-xxxx-xxxx-xxxx-xxxxxxxxxxxx) not the subscription name.
* The subscription must be associated with a Microsoft Enterprise Agreement or a Cloud Solution Provider Azure plan.  
* The subscription must have quota enabled for Azure VMware Solution, prior to attempting to deploy Azure VMware Solution request quota be granted to ths subscription. </t>
    </r>
  </si>
  <si>
    <r>
      <rPr>
        <b/>
        <sz val="11"/>
        <color theme="1"/>
        <rFont val="Calibri"/>
        <family val="2"/>
        <scheme val="minor"/>
      </rPr>
      <t>Name of the Azure VMware Solution Private Cloud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This is a friendly name for your Azure VMware Solution private cloud, this will be the name listed in the Azure portal.</t>
    </r>
  </si>
  <si>
    <r>
      <t xml:space="preserve">Resource Group Name
</t>
    </r>
    <r>
      <rPr>
        <i/>
        <sz val="11"/>
        <color theme="1"/>
        <rFont val="Calibri"/>
        <family val="2"/>
        <scheme val="minor"/>
      </rPr>
      <t>* Provide a name for the Resource Group where Azure VMware Solution will be deployed.</t>
    </r>
  </si>
  <si>
    <r>
      <t xml:space="preserve">Resource Group (New or Existing)
</t>
    </r>
    <r>
      <rPr>
        <i/>
        <sz val="11"/>
        <color theme="1"/>
        <rFont val="Calibri"/>
        <family val="2"/>
        <scheme val="minor"/>
      </rPr>
      <t>* Use an existing resource group or create a new resource group?</t>
    </r>
  </si>
  <si>
    <r>
      <rPr>
        <b/>
        <sz val="11"/>
        <color theme="1"/>
        <rFont val="Calibri"/>
        <family val="2"/>
        <scheme val="minor"/>
      </rPr>
      <t>Azure VMware Solution ExpressRoute Connection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 xml:space="preserve">* Azure VMware Solution connects to Azure Virtual Network via an internal ExpressRoute.  This ExpressRoute must terminate to an ExpressRoute Gateway which is deployed in a Azure Virtual Network.  Choose if a new Virtual Network and ExpressRoute Gateway will be created </t>
    </r>
    <r>
      <rPr>
        <b/>
        <i/>
        <sz val="11"/>
        <color theme="1"/>
        <rFont val="Calibri"/>
        <family val="2"/>
        <scheme val="minor"/>
      </rPr>
      <t>OR</t>
    </r>
    <r>
      <rPr>
        <i/>
        <sz val="11"/>
        <color theme="1"/>
        <rFont val="Calibri"/>
        <family val="2"/>
        <scheme val="minor"/>
      </rPr>
      <t xml:space="preserve"> if the ExpressRoute Gateway should be created in an existing Virtual Network </t>
    </r>
    <r>
      <rPr>
        <b/>
        <i/>
        <sz val="11"/>
        <color theme="1"/>
        <rFont val="Calibri"/>
        <family val="2"/>
        <scheme val="minor"/>
      </rPr>
      <t>OR</t>
    </r>
    <r>
      <rPr>
        <i/>
        <sz val="11"/>
        <color theme="1"/>
        <rFont val="Calibri"/>
        <family val="2"/>
        <scheme val="minor"/>
      </rPr>
      <t xml:space="preserve"> if a ExpressRoute Gateway already exists which Azure VMware Solution ExpressRoute will connect.
* This ExpressRoute connection to the Azure Virtual Network from Azure VMware Solution Private Cloud allows for communication between Azure VMware Solution and Azure Virtual Networks and Azure Services.
* If an existing Virtual Network is going to be used for the ExpressRoute Gateway, that Virtual Network cannot already have an ExpressRoute Gateway configured.</t>
    </r>
  </si>
  <si>
    <r>
      <rPr>
        <b/>
        <sz val="11"/>
        <color theme="1"/>
        <rFont val="Calibri"/>
        <family val="2"/>
        <scheme val="minor"/>
      </rPr>
      <t>Virtual Network Name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 xml:space="preserve">* Provide a name for the new Virtual Network which will be used for the ExpressRoute gateway.  </t>
    </r>
  </si>
  <si>
    <r>
      <rPr>
        <b/>
        <sz val="11"/>
        <color theme="1"/>
        <rFont val="Calibri"/>
        <family val="2"/>
        <scheme val="minor"/>
      </rPr>
      <t>Virtual Network Network Range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The Virtual Network must have network range where the subnets within that Virtual Network can be created from.  Example, 10.0.0.0/16.</t>
    </r>
  </si>
  <si>
    <r>
      <rPr>
        <b/>
        <sz val="11"/>
        <color theme="1"/>
        <rFont val="Calibri"/>
        <family val="2"/>
        <scheme val="minor"/>
      </rPr>
      <t>ExpressRoute Gateway Subnet Network Range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The ExpressRoute Gateway must be created in a subnet created specifically for this purpose.  There will  be a subnet called "GatewaySubnet" created in the Virtual Network.  Define the network range for this subnet.  Example, 10.1.2.0/24.</t>
    </r>
  </si>
  <si>
    <r>
      <rPr>
        <b/>
        <sz val="11"/>
        <color theme="1"/>
        <rFont val="Calibri"/>
        <family val="2"/>
        <scheme val="minor"/>
      </rPr>
      <t>Default Subnet Network Range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The Virtual Network which is going to be created will have a default subnet created, what is the network range for this subnet?  Example, 10.1.1.0/24</t>
    </r>
  </si>
  <si>
    <r>
      <rPr>
        <b/>
        <sz val="11"/>
        <color theme="1"/>
        <rFont val="Calibri"/>
        <family val="2"/>
        <scheme val="minor"/>
      </rPr>
      <t>Enable or Disable Internet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Access to the Internet from Azure VMware Solution Private cloud can be enabled or disabled.  Choose either option.
* This choice does not impact the ability to expose Azure VMware Solution virtual machines to the Internet for incoming access, i.e., webserver.</t>
    </r>
  </si>
  <si>
    <r>
      <rPr>
        <b/>
        <sz val="11"/>
        <color theme="1"/>
        <rFont val="Calibri"/>
        <family val="2"/>
        <scheme val="minor"/>
      </rPr>
      <t>Private Cloud Address Block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This MUST BE a /22 network block.  Example, 192.168.8.0/22</t>
    </r>
  </si>
  <si>
    <r>
      <rPr>
        <b/>
        <sz val="11"/>
        <color theme="1"/>
        <rFont val="Calibri"/>
        <family val="2"/>
        <scheme val="minor"/>
      </rPr>
      <t>SKU Type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At present, this is the only SKU available.</t>
    </r>
  </si>
  <si>
    <r>
      <rPr>
        <b/>
        <sz val="11"/>
        <color theme="1"/>
        <rFont val="Calibri"/>
        <family val="2"/>
        <scheme val="minor"/>
      </rPr>
      <t>Number of Hosts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Additional hosts can be added post deployment.</t>
    </r>
  </si>
  <si>
    <t>DO NOT MODIFY ANYTHING IN THIS COLUMN</t>
  </si>
  <si>
    <r>
      <t xml:space="preserve">Deployment Region
</t>
    </r>
    <r>
      <rPr>
        <i/>
        <sz val="11"/>
        <color theme="1"/>
        <rFont val="Calibri"/>
        <family val="2"/>
        <scheme val="minor"/>
      </rPr>
      <t>* What region will Azure VMware Solution be deployed</t>
    </r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</si>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</sst>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 applyProtection="1">
      <alignment horizontal="left"/>
      <protection locked="0"/>
    </xf>
    <xf numFmtId="0" fontId="0" fillId="0" borderId="0" xfId="0" applyProtection="1"/>
    <xf numFmtId="0" fontId="0" fillId="0" borderId="0" xfId="0" applyAlignment="1" applyProtection="1">
      <alignment wrapText="1"/>
    </xf>
    <xf numFmtId="0" fontId="1" fillId="0" borderId="2" xfId="0" applyFont="1" applyFill="1" applyBorder="1" applyAlignment="1">
      <alignment vertical="center" wrapText="1"/>
    </xf>
    <xf numFmtId="0" fontId="0" fillId="0" borderId="3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vertical="center" wrapText="1"/>
    </xf>
    <xf numFmtId="0" fontId="0" fillId="0" borderId="2" xfId="0" applyFont="1" applyFill="1" applyBorder="1" applyAlignment="1">
      <alignment horizontal="left" vertical="center" wrapText="1"/>
    </xf>
    <xf numFmtId="0" fontId="0" fillId="0" borderId="4" xfId="0" applyFont="1" applyFill="1" applyBorder="1" applyAlignment="1">
      <alignment horizontal="left" vertical="center" wrapText="1"/>
    </xf>
    <xf numFmtId="0" fontId="0" fillId="0" borderId="1" xfId="0" applyFont="1" applyFill="1" applyBorder="1" applyAlignment="1">
      <alignment horizontal="left" vertical="center"/>
    </xf>
    <xf numFmtId="0" fontId="0" fillId="2" borderId="0" xfId="0" applyFill="1"/>
    <xf numFmtId="0" fontId="0" fillId="2" borderId="0" xfId="0" applyFill="1" applyProtection="1"/>
    <xf numFmtId="0" fontId="0" fillId="2" borderId="0" xfId="0" applyFill="1" applyAlignment="1" applyProtection="1">
      <alignment horizontal="left"/>
      <protection locked="0"/>
    </xf>
    <xf numFmtId="0" fontId="0" fillId="2" borderId="0" xfId="0" applyFill="1" applyAlignment="1">
      <alignment wrapText="1"/>
    </xf>
    <xf numFmtId="0" fontId="5" fillId="2" borderId="0" xfId="0" applyFont="1" applyFill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A4AB8-4AB8-475F-B3D8-BA0B7780D473}">
  <sheetPr codeName="Sheet2"/>
  <dimension ref="B1:D77"/>
  <sheetViews>
    <sheetView zoomScale="90" zoomScaleNormal="90" workbookViewId="0">
      <selection activeCell="B6" sqref="B6"/>
    </sheetView>
  </sheetViews>
  <sheetFormatPr defaultColWidth="8.9296875" defaultRowHeight="14.25" x14ac:dyDescent="0.45"/>
  <cols>
    <col min="1" max="1" width="8.9296875" style="10"/>
    <col min="2" max="2" width="80.86328125" style="2" customWidth="1"/>
    <col min="3" max="3" width="53.59765625" style="1" bestFit="1" customWidth="1"/>
    <col min="4" max="4" width="63.19921875" style="13" customWidth="1"/>
    <col min="5" max="16384" width="8.9296875" style="10"/>
  </cols>
  <sheetData>
    <row r="1" spans="2:4" x14ac:dyDescent="0.45">
      <c r="B1" s="14" t="s">
        <v>44</v>
      </c>
      <c r="C1" s="12"/>
    </row>
    <row r="2" spans="2:4" ht="99.75" x14ac:dyDescent="0.45">
      <c r="B2" s="4" t="s">
        <v>31</v>
      </c>
      <c r="C2" s="5"/>
      <c r="D2" s="10"/>
    </row>
    <row r="3" spans="2:4" ht="28.5" x14ac:dyDescent="0.45">
      <c r="B3" s="4" t="s">
        <v>34</v>
      </c>
      <c r="C3" s="5" t="s">
        <v>2</v>
      </c>
      <c r="D3" s="10"/>
    </row>
    <row r="4" spans="2:4" ht="28.5" x14ac:dyDescent="0.45">
      <c r="B4" s="4" t="s">
        <v>33</v>
      </c>
      <c r="C4" s="5"/>
      <c r="D4" s="10"/>
    </row>
    <row r="5" spans="2:4" ht="28.5" x14ac:dyDescent="0.45">
      <c r="B5" s="4" t="s">
        <v>45</v>
      </c>
      <c r="C5" s="5" t="s">
        <v>3</v>
      </c>
      <c r="D5" s="10"/>
    </row>
    <row r="6" spans="2:4" ht="42.75" x14ac:dyDescent="0.45">
      <c r="B6" s="6" t="s">
        <v>32</v>
      </c>
      <c r="C6" s="5"/>
      <c r="D6" s="10"/>
    </row>
    <row r="7" spans="2:4" ht="156.75" x14ac:dyDescent="0.45">
      <c r="B7" s="6" t="s">
        <v>35</v>
      </c>
      <c r="C7" s="5" t="s">
        <v>20</v>
      </c>
      <c r="D7" s="10"/>
    </row>
    <row r="8" spans="2:4" ht="28.5" x14ac:dyDescent="0.45">
      <c r="B8" s="6" t="s">
        <v>36</v>
      </c>
      <c r="C8" s="5"/>
      <c r="D8" s="10"/>
    </row>
    <row r="9" spans="2:4" ht="42.75" x14ac:dyDescent="0.45">
      <c r="B9" s="7" t="s">
        <v>37</v>
      </c>
      <c r="C9" s="5"/>
      <c r="D9" s="10"/>
    </row>
    <row r="10" spans="2:4" ht="42.75" x14ac:dyDescent="0.45">
      <c r="B10" s="7" t="s">
        <v>39</v>
      </c>
      <c r="C10" s="5"/>
      <c r="D10" s="10"/>
    </row>
    <row r="11" spans="2:4" ht="57" hidden="1" x14ac:dyDescent="0.45">
      <c r="B11" s="7" t="s">
        <v>38</v>
      </c>
      <c r="C11" s="5"/>
      <c r="D11" s="10"/>
    </row>
    <row r="12" spans="2:4" ht="71.25" x14ac:dyDescent="0.45">
      <c r="B12" s="7" t="s">
        <v>40</v>
      </c>
      <c r="C12" s="5" t="s">
        <v>29</v>
      </c>
      <c r="D12" s="10"/>
    </row>
    <row r="13" spans="2:4" ht="28.5" x14ac:dyDescent="0.45">
      <c r="B13" s="7" t="s">
        <v>41</v>
      </c>
      <c r="C13" s="5"/>
      <c r="D13" s="10"/>
    </row>
    <row r="14" spans="2:4" ht="28.5" x14ac:dyDescent="0.45">
      <c r="B14" s="7" t="s">
        <v>42</v>
      </c>
      <c r="C14" s="5" t="s">
        <v>27</v>
      </c>
      <c r="D14" s="10"/>
    </row>
    <row r="15" spans="2:4" ht="28.5" x14ac:dyDescent="0.45">
      <c r="B15" s="8" t="s">
        <v>43</v>
      </c>
      <c r="C15" s="9">
        <v>3</v>
      </c>
      <c r="D15" s="10"/>
    </row>
    <row r="16" spans="2:4" x14ac:dyDescent="0.45">
      <c r="B16" s="11"/>
      <c r="C16" s="12"/>
    </row>
    <row r="17" spans="2:3" x14ac:dyDescent="0.45">
      <c r="B17" s="11"/>
      <c r="C17" s="12"/>
    </row>
    <row r="18" spans="2:3" x14ac:dyDescent="0.45">
      <c r="B18" s="11"/>
      <c r="C18" s="12"/>
    </row>
    <row r="19" spans="2:3" x14ac:dyDescent="0.45">
      <c r="B19" s="11"/>
      <c r="C19" s="12"/>
    </row>
    <row r="20" spans="2:3" x14ac:dyDescent="0.45">
      <c r="B20" s="11"/>
      <c r="C20" s="12"/>
    </row>
    <row r="21" spans="2:3" x14ac:dyDescent="0.45">
      <c r="B21" s="11"/>
      <c r="C21" s="12"/>
    </row>
    <row r="22" spans="2:3" x14ac:dyDescent="0.45">
      <c r="B22" s="11"/>
      <c r="C22" s="12"/>
    </row>
    <row r="23" spans="2:3" x14ac:dyDescent="0.45">
      <c r="B23" s="11"/>
      <c r="C23" s="12"/>
    </row>
    <row r="24" spans="2:3" x14ac:dyDescent="0.45">
      <c r="B24" s="11"/>
      <c r="C24" s="12"/>
    </row>
    <row r="25" spans="2:3" x14ac:dyDescent="0.45">
      <c r="B25" s="11"/>
      <c r="C25" s="12"/>
    </row>
    <row r="26" spans="2:3" x14ac:dyDescent="0.45">
      <c r="B26" s="11"/>
      <c r="C26" s="12"/>
    </row>
    <row r="27" spans="2:3" x14ac:dyDescent="0.45">
      <c r="B27" s="11"/>
      <c r="C27" s="12"/>
    </row>
    <row r="28" spans="2:3" x14ac:dyDescent="0.45">
      <c r="B28" s="11"/>
      <c r="C28" s="12"/>
    </row>
    <row r="29" spans="2:3" x14ac:dyDescent="0.45">
      <c r="B29" s="11"/>
      <c r="C29" s="12"/>
    </row>
    <row r="30" spans="2:3" x14ac:dyDescent="0.45">
      <c r="B30" s="11"/>
      <c r="C30" s="12"/>
    </row>
    <row r="31" spans="2:3" x14ac:dyDescent="0.45">
      <c r="B31" s="11"/>
      <c r="C31" s="12"/>
    </row>
    <row r="32" spans="2:3" x14ac:dyDescent="0.45">
      <c r="B32" s="11"/>
      <c r="C32" s="12"/>
    </row>
    <row r="33" spans="2:3" x14ac:dyDescent="0.45">
      <c r="B33" s="11"/>
      <c r="C33" s="12"/>
    </row>
    <row r="34" spans="2:3" x14ac:dyDescent="0.45">
      <c r="B34" s="11"/>
      <c r="C34" s="12"/>
    </row>
    <row r="35" spans="2:3" x14ac:dyDescent="0.45">
      <c r="B35" s="11"/>
      <c r="C35" s="12"/>
    </row>
    <row r="36" spans="2:3" x14ac:dyDescent="0.45">
      <c r="B36" s="11"/>
      <c r="C36" s="12"/>
    </row>
    <row r="37" spans="2:3" x14ac:dyDescent="0.45">
      <c r="B37" s="11"/>
      <c r="C37" s="12"/>
    </row>
    <row r="38" spans="2:3" x14ac:dyDescent="0.45">
      <c r="B38" s="11"/>
      <c r="C38" s="12"/>
    </row>
    <row r="39" spans="2:3" x14ac:dyDescent="0.45">
      <c r="B39" s="11"/>
      <c r="C39" s="12"/>
    </row>
    <row r="40" spans="2:3" x14ac:dyDescent="0.45">
      <c r="B40" s="11"/>
      <c r="C40" s="12"/>
    </row>
    <row r="41" spans="2:3" x14ac:dyDescent="0.45">
      <c r="B41" s="11"/>
      <c r="C41" s="12"/>
    </row>
    <row r="42" spans="2:3" x14ac:dyDescent="0.45">
      <c r="B42" s="11"/>
      <c r="C42" s="12"/>
    </row>
    <row r="43" spans="2:3" x14ac:dyDescent="0.45">
      <c r="B43" s="11"/>
      <c r="C43" s="12"/>
    </row>
    <row r="44" spans="2:3" x14ac:dyDescent="0.45">
      <c r="B44" s="11"/>
      <c r="C44" s="12"/>
    </row>
    <row r="45" spans="2:3" x14ac:dyDescent="0.45">
      <c r="B45" s="11"/>
      <c r="C45" s="12"/>
    </row>
    <row r="46" spans="2:3" x14ac:dyDescent="0.45">
      <c r="B46" s="11"/>
      <c r="C46" s="12"/>
    </row>
    <row r="47" spans="2:3" x14ac:dyDescent="0.45">
      <c r="B47" s="11"/>
      <c r="C47" s="12"/>
    </row>
    <row r="48" spans="2:3" x14ac:dyDescent="0.45">
      <c r="B48" s="11"/>
      <c r="C48" s="12"/>
    </row>
    <row r="49" spans="2:3" x14ac:dyDescent="0.45">
      <c r="B49" s="11"/>
      <c r="C49" s="12"/>
    </row>
    <row r="50" spans="2:3" x14ac:dyDescent="0.45">
      <c r="B50" s="11"/>
      <c r="C50" s="12"/>
    </row>
    <row r="51" spans="2:3" x14ac:dyDescent="0.45">
      <c r="B51" s="11"/>
      <c r="C51" s="12"/>
    </row>
    <row r="52" spans="2:3" x14ac:dyDescent="0.45">
      <c r="B52" s="11"/>
      <c r="C52" s="12"/>
    </row>
    <row r="53" spans="2:3" x14ac:dyDescent="0.45">
      <c r="B53" s="11"/>
      <c r="C53" s="12"/>
    </row>
    <row r="54" spans="2:3" x14ac:dyDescent="0.45">
      <c r="B54" s="11"/>
      <c r="C54" s="12"/>
    </row>
    <row r="55" spans="2:3" x14ac:dyDescent="0.45">
      <c r="B55" s="11"/>
      <c r="C55" s="12"/>
    </row>
    <row r="56" spans="2:3" x14ac:dyDescent="0.45">
      <c r="B56" s="11"/>
      <c r="C56" s="12"/>
    </row>
    <row r="57" spans="2:3" x14ac:dyDescent="0.45">
      <c r="B57" s="11"/>
      <c r="C57" s="12"/>
    </row>
    <row r="58" spans="2:3" x14ac:dyDescent="0.45">
      <c r="B58" s="11"/>
      <c r="C58" s="12"/>
    </row>
    <row r="59" spans="2:3" x14ac:dyDescent="0.45">
      <c r="B59" s="11"/>
      <c r="C59" s="12"/>
    </row>
    <row r="60" spans="2:3" x14ac:dyDescent="0.45">
      <c r="B60" s="11"/>
      <c r="C60" s="12"/>
    </row>
    <row r="61" spans="2:3" x14ac:dyDescent="0.45">
      <c r="B61" s="11"/>
      <c r="C61" s="12"/>
    </row>
    <row r="62" spans="2:3" x14ac:dyDescent="0.45">
      <c r="B62" s="11"/>
      <c r="C62" s="12"/>
    </row>
    <row r="63" spans="2:3" x14ac:dyDescent="0.45">
      <c r="B63" s="11"/>
      <c r="C63" s="12"/>
    </row>
    <row r="64" spans="2:3" x14ac:dyDescent="0.45">
      <c r="B64" s="11"/>
      <c r="C64" s="12"/>
    </row>
    <row r="65" spans="2:3" x14ac:dyDescent="0.45">
      <c r="B65" s="11"/>
      <c r="C65" s="12"/>
    </row>
    <row r="66" spans="2:3" x14ac:dyDescent="0.45">
      <c r="B66" s="11"/>
      <c r="C66" s="12"/>
    </row>
    <row r="67" spans="2:3" x14ac:dyDescent="0.45">
      <c r="B67" s="11"/>
      <c r="C67" s="12"/>
    </row>
    <row r="68" spans="2:3" x14ac:dyDescent="0.45">
      <c r="B68" s="11"/>
      <c r="C68" s="12"/>
    </row>
    <row r="69" spans="2:3" x14ac:dyDescent="0.45">
      <c r="B69" s="11"/>
      <c r="C69" s="12"/>
    </row>
    <row r="70" spans="2:3" x14ac:dyDescent="0.45">
      <c r="B70" s="11"/>
      <c r="C70" s="12"/>
    </row>
    <row r="71" spans="2:3" x14ac:dyDescent="0.45">
      <c r="B71" s="11"/>
      <c r="C71" s="12"/>
    </row>
    <row r="72" spans="2:3" x14ac:dyDescent="0.45">
      <c r="B72" s="11"/>
      <c r="C72" s="12"/>
    </row>
    <row r="73" spans="2:3" x14ac:dyDescent="0.45">
      <c r="B73" s="11"/>
      <c r="C73" s="12"/>
    </row>
    <row r="74" spans="2:3" x14ac:dyDescent="0.45">
      <c r="B74" s="11"/>
      <c r="C74" s="12"/>
    </row>
    <row r="75" spans="2:3" x14ac:dyDescent="0.45">
      <c r="B75" s="11"/>
      <c r="C75" s="12"/>
    </row>
    <row r="76" spans="2:3" x14ac:dyDescent="0.45">
      <c r="B76" s="11"/>
      <c r="C76" s="12"/>
    </row>
    <row r="77" spans="2:3" x14ac:dyDescent="0.45">
      <c r="B77" s="11"/>
      <c r="C77" s="12"/>
    </row>
  </sheetData>
  <phoneticPr fontId="3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806BE78-A8F2-4AF9-9F68-0E96A81E495E}">
          <x14:formula1>
            <xm:f>dropdowns!$A$1:$A$2</xm:f>
          </x14:formula1>
          <xm:sqref>C3</xm:sqref>
        </x14:dataValidation>
        <x14:dataValidation type="list" allowBlank="1" showInputMessage="1" showErrorMessage="1" xr:uid="{943B176A-0AB2-42C5-8943-AD02247D0D5C}">
          <x14:formula1>
            <xm:f>dropdowns!$B$1:$B$9</xm:f>
          </x14:formula1>
          <xm:sqref>C5</xm:sqref>
        </x14:dataValidation>
        <x14:dataValidation type="list" allowBlank="1" showInputMessage="1" showErrorMessage="1" xr:uid="{C6E855AA-AE01-4698-AFD1-322E60BE5358}">
          <x14:formula1>
            <xm:f>dropdowns!$C$1:$C$3</xm:f>
          </x14:formula1>
          <xm:sqref>C7</xm:sqref>
        </x14:dataValidation>
        <x14:dataValidation type="list" allowBlank="1" showInputMessage="1" showErrorMessage="1" xr:uid="{98EB7EA8-8687-4AE5-A9B7-4B76F63A7388}">
          <x14:formula1>
            <xm:f>dropdowns!$D$1:$D$2</xm:f>
          </x14:formula1>
          <xm:sqref>C12</xm:sqref>
        </x14:dataValidation>
        <x14:dataValidation type="list" allowBlank="1" showInputMessage="1" showErrorMessage="1" xr:uid="{BB7BE087-98DB-4EB3-A5EA-3CE67CD30CF2}">
          <x14:formula1>
            <xm:f>dropdowns!$E$1</xm:f>
          </x14:formula1>
          <xm:sqref>C14</xm:sqref>
        </x14:dataValidation>
        <x14:dataValidation type="list" allowBlank="1" showInputMessage="1" showErrorMessage="1" xr:uid="{9FC5BFAB-8949-495D-8B0F-D92E5CC67F89}">
          <x14:formula1>
            <xm:f>dropdowns!$F$1</xm:f>
          </x14:formula1>
          <xm:sqref>C15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"/>
  <sheetViews>
    <sheetView workbookViewId="0">
      <selection activeCell="C2" sqref="C2"/>
    </sheetView>
  </sheetViews>
  <sheetFormatPr defaultRowHeight="14.25" x14ac:dyDescent="0.45"/>
  <cols>
    <col min="1" max="1" width="6.73046875" bestFit="1" customWidth="1"/>
    <col min="2" max="2" width="10" bestFit="1" customWidth="1"/>
    <col min="3" max="3" width="15" bestFit="1" customWidth="1"/>
    <col min="4" max="4" width="18.86328125" bestFit="1" customWidth="1"/>
    <col min="5" max="5" width="7.33203125" bestFit="1" customWidth="1"/>
    <col min="6" max="6" width="10.19921875" bestFit="1" customWidth="1"/>
    <col min="7" max="7" width="9.19921875" bestFit="1" customWidth="1"/>
    <col min="8" max="8" width="16.06640625" bestFit="1" customWidth="1"/>
    <col min="9" max="9" width="17.6640625" bestFit="1" customWidth="1"/>
    <col min="10" max="10" width="13.9296875" bestFit="1" customWidth="1"/>
    <col min="12" max="12" width="13" bestFit="1" customWidth="1"/>
  </cols>
  <sheetData>
    <row r="1" spans="1:14" x14ac:dyDescent="0.45">
      <c r="A1" t="s">
        <v>0</v>
      </c>
      <c r="B1" t="s">
        <v>23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25</v>
      </c>
      <c r="L1" t="s">
        <v>24</v>
      </c>
      <c r="M1" t="s">
        <v>26</v>
      </c>
      <c r="N1" t="s">
        <v>28</v>
      </c>
    </row>
    <row r="2" spans="1:14" x14ac:dyDescent="0.45">
      <c r="A2">
        <f>'User Inputs'!C2</f>
        <v>0</v>
      </c>
      <c r="B2" t="str">
        <f>'User Inputs'!C3</f>
        <v>create new</v>
      </c>
      <c r="C2">
        <f>'User Inputs'!C4</f>
        <v>0</v>
      </c>
      <c r="D2" t="str">
        <f>'User Inputs'!C5</f>
        <v>australiaeast</v>
      </c>
      <c r="E2">
        <f>'User Inputs'!C6</f>
        <v>0</v>
      </c>
      <c r="F2">
        <f>IF('User Inputs'!C7=dropdowns!C2,2,IF('User Inputs'!C7=dropdowns!C3,3,IF('User Inputs'!C7=dropdowns!C1,1)))</f>
        <v>1</v>
      </c>
      <c r="G2">
        <f>'User Inputs'!C8</f>
        <v>0</v>
      </c>
      <c r="H2">
        <f>'User Inputs'!C9</f>
        <v>0</v>
      </c>
      <c r="I2">
        <f>'User Inputs'!C10</f>
        <v>0</v>
      </c>
      <c r="J2">
        <f>'User Inputs'!C11</f>
        <v>0</v>
      </c>
      <c r="K2" t="str">
        <f>'User Inputs'!C12</f>
        <v>Enabled</v>
      </c>
      <c r="L2">
        <f>'User Inputs'!C13</f>
        <v>0</v>
      </c>
      <c r="M2" t="str">
        <f>'User Inputs'!C14</f>
        <v>AV36</v>
      </c>
      <c r="N2">
        <f>'User Inputs'!C15</f>
        <v>3</v>
      </c>
    </row>
  </sheetData>
  <sheetProtection algorithmName="SHA-512" hashValue="J+f8IG1+P8crSPxslUOsSx2s6/awXTvNdMjCJtLV2fLlX9fOGRsLoJ/VBrN9XGaLY4oAIijY32Ybrn/FiPhHVg==" saltValue="XStFFzi0z0b9Y0PY/k1ojw==" spinCount="100000" sheet="1" objects="1" scenarios="1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9637F-9C9B-48BF-87DD-066523BE07EC}">
  <sheetPr codeName="Sheet3"/>
  <dimension ref="A1:F10"/>
  <sheetViews>
    <sheetView tabSelected="1" workbookViewId="0">
      <selection activeCell="C10" sqref="C10"/>
    </sheetView>
  </sheetViews>
  <sheetFormatPr defaultColWidth="8.9296875" defaultRowHeight="14.25" x14ac:dyDescent="0.45"/>
  <cols>
    <col min="1" max="1" width="9.53125" style="2" bestFit="1" customWidth="1"/>
    <col min="2" max="2" width="12.3984375" style="2" bestFit="1" customWidth="1"/>
    <col min="3" max="3" width="90.73046875" style="2" customWidth="1"/>
    <col min="4" max="16384" width="8.9296875" style="2"/>
  </cols>
  <sheetData>
    <row r="1" spans="1:6" x14ac:dyDescent="0.45">
      <c r="A1" s="2" t="s">
        <v>1</v>
      </c>
      <c r="B1" s="2" t="s">
        <v>3</v>
      </c>
      <c r="C1" s="2" t="s">
        <v>20</v>
      </c>
      <c r="D1" s="2" t="s">
        <v>29</v>
      </c>
      <c r="E1" s="2" t="s">
        <v>27</v>
      </c>
      <c r="F1" s="2">
        <v>3</v>
      </c>
    </row>
    <row r="2" spans="1:6" x14ac:dyDescent="0.45">
      <c r="A2" s="2" t="s">
        <v>2</v>
      </c>
      <c r="B2" s="2" t="s">
        <v>4</v>
      </c>
      <c r="C2" s="3" t="s">
        <v>21</v>
      </c>
      <c r="D2" s="2" t="s">
        <v>30</v>
      </c>
    </row>
    <row r="3" spans="1:6" x14ac:dyDescent="0.45">
      <c r="B3" s="2" t="s">
        <v>5</v>
      </c>
      <c r="C3" s="2" t="s">
        <v>22</v>
      </c>
    </row>
    <row r="4" spans="1:6" x14ac:dyDescent="0.45">
      <c r="B4" s="2" t="s">
        <v>6</v>
      </c>
    </row>
    <row r="5" spans="1:6" x14ac:dyDescent="0.45">
      <c r="B5" s="2" t="s">
        <v>7</v>
      </c>
    </row>
    <row r="6" spans="1:6" x14ac:dyDescent="0.45">
      <c r="B6" s="2" t="s">
        <v>8</v>
      </c>
    </row>
    <row r="7" spans="1:6" x14ac:dyDescent="0.45">
      <c r="B7" s="2" t="s">
        <v>9</v>
      </c>
    </row>
    <row r="8" spans="1:6" x14ac:dyDescent="0.45">
      <c r="B8" s="2" t="s">
        <v>10</v>
      </c>
    </row>
    <row r="9" spans="1:6" x14ac:dyDescent="0.45">
      <c r="B9" s="2" t="s">
        <v>11</v>
      </c>
    </row>
    <row r="10" spans="1:6" x14ac:dyDescent="0.45">
      <c r="B10" s="2" t="s">
        <v>46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f988bf-86f1-41af-91ab-2d7cd011db47}" enabled="0" method="" siteId="{72f988bf-86f1-41af-91ab-2d7cd011db4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Inputs</vt:lpstr>
      <vt:lpstr>userinputs</vt:lpstr>
      <vt:lpstr>dropdowns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Davis</dc:creator>
  <cp:lastModifiedBy>Trevor Davis</cp:lastModifiedBy>
  <dcterms:created xsi:type="dcterms:W3CDTF">2015-06-05T18:17:20Z</dcterms:created>
  <dcterms:modified xsi:type="dcterms:W3CDTF">2021-04-15T01:11:01Z</dcterms:modified>
</cp:coreProperties>
</file>